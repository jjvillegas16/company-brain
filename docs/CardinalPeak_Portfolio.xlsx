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Investors_RESTRICT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<sst xmlns="http://schemas.openxmlformats.org/spreadsheetml/2006/main" count="87" uniqueCount="60">
  <si>
    <t xml:space="preserve">Cardinal Peak Capital — Deal Pipeline &amp; Owned Portfolio</t>
  </si>
  <si>
    <t xml:space="preserve">Sensitivity: INTERNAL — visible to all staff. Property facts modeled on public US listings data.</t>
  </si>
  <si>
    <t xml:space="preserve">Deal Name</t>
  </si>
  <si>
    <t xml:space="preserve">City</t>
  </si>
  <si>
    <t xml:space="preserve">State</t>
  </si>
  <si>
    <t xml:space="preserve">Type</t>
  </si>
  <si>
    <t xml:space="preserve">Units</t>
  </si>
  <si>
    <t xml:space="preserve">List Price</t>
  </si>
  <si>
    <t xml:space="preserve">Purchase Price</t>
  </si>
  <si>
    <t xml:space="preserve">NOI (annual)</t>
  </si>
  <si>
    <t xml:space="preserve">Cap Rate</t>
  </si>
  <si>
    <t xml:space="preserve">Status</t>
  </si>
  <si>
    <t xml:space="preserve">Maple Ridge</t>
  </si>
  <si>
    <t xml:space="preserve">Asheville</t>
  </si>
  <si>
    <t xml:space="preserve">NC</t>
  </si>
  <si>
    <t xml:space="preserve">STR</t>
  </si>
  <si>
    <t xml:space="preserve">Owned</t>
  </si>
  <si>
    <t xml:space="preserve">Sunset Bungalow</t>
  </si>
  <si>
    <t xml:space="preserve">Scottsdale</t>
  </si>
  <si>
    <t xml:space="preserve">AZ</t>
  </si>
  <si>
    <t xml:space="preserve">Gulf Breeze</t>
  </si>
  <si>
    <t xml:space="preserve">Destin</t>
  </si>
  <si>
    <t xml:space="preserve">FL</t>
  </si>
  <si>
    <t xml:space="preserve">Birch Court</t>
  </si>
  <si>
    <t xml:space="preserve">Nashville</t>
  </si>
  <si>
    <t xml:space="preserve">TN</t>
  </si>
  <si>
    <t xml:space="preserve">Multifamily</t>
  </si>
  <si>
    <t xml:space="preserve">Crestline Flats</t>
  </si>
  <si>
    <t xml:space="preserve">Boise</t>
  </si>
  <si>
    <t xml:space="preserve">ID</t>
  </si>
  <si>
    <t xml:space="preserve">Harbor View</t>
  </si>
  <si>
    <t xml:space="preserve">Charleston</t>
  </si>
  <si>
    <t xml:space="preserve">SC</t>
  </si>
  <si>
    <t xml:space="preserve">Pipeline</t>
  </si>
  <si>
    <t xml:space="preserve">Aspen Meadow</t>
  </si>
  <si>
    <t xml:space="preserve">Bozeman</t>
  </si>
  <si>
    <t xml:space="preserve">MT</t>
  </si>
  <si>
    <t xml:space="preserve">Cedar Park 24</t>
  </si>
  <si>
    <t xml:space="preserve">Austin</t>
  </si>
  <si>
    <t xml:space="preserve">TX</t>
  </si>
  <si>
    <t xml:space="preserve">Lakeside Cottage</t>
  </si>
  <si>
    <t xml:space="preserve">Traverse City</t>
  </si>
  <si>
    <t xml:space="preserve">MI</t>
  </si>
  <si>
    <t xml:space="preserve">Passed</t>
  </si>
  <si>
    <t xml:space="preserve">Pine Hollow</t>
  </si>
  <si>
    <t xml:space="preserve">Gatlinburg</t>
  </si>
  <si>
    <t xml:space="preserve">TOTAL (Owned+Pipeline)</t>
  </si>
  <si>
    <t xml:space="preserve">Cardinal Peak Capital — LP Commitments &amp; Distributions</t>
  </si>
  <si>
    <t xml:space="preserve">Sensitivity: RESTRICTED — EXECUTIVE ONLY. Contains investor identities and capital data. Do NOT expose to staff.</t>
  </si>
  <si>
    <t xml:space="preserve">Investor</t>
  </si>
  <si>
    <t xml:space="preserve">Linked Deal</t>
  </si>
  <si>
    <t xml:space="preserve">Commitment</t>
  </si>
  <si>
    <t xml:space="preserve">Ownership %</t>
  </si>
  <si>
    <t xml:space="preserve">Q1 2026 Distribution</t>
  </si>
  <si>
    <t xml:space="preserve">Tamarind Family Office</t>
  </si>
  <si>
    <t xml:space="preserve">Greenfield Partners LLC</t>
  </si>
  <si>
    <t xml:space="preserve">R. Okafor (individual)</t>
  </si>
  <si>
    <t xml:space="preserve">Summit Hollow Trust</t>
  </si>
  <si>
    <t xml:space="preserve">Blue Heron Capital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</si>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</sst>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n">
        <v>1</v>
      </c>
      <c r="F5" s="5" t="n">
        <v>749000</v>
      </c>
      <c r="G5" s="5" t="n">
        <v>725000</v>
      </c>
      <c r="H5" s="5" t="n">
        <v>61200</v>
      </c>
      <c r="I5" s="6" t="n">
        <v>0.084</v>
      </c>
      <c r="J5" s="4" t="s">
        <v>16</v>
      </c>
    </row>
    <row r="6" customFormat="false" ht="15" hidden="false" customHeight="false" outlineLevel="0" collapsed="false">
      <c r="A6" s="4" t="s">
        <v>17</v>
      </c>
      <c r="B6" s="4" t="s">
        <v>18</v>
      </c>
      <c r="C6" s="4" t="s">
        <v>19</v>
      </c>
      <c r="D6" s="4" t="s">
        <v>15</v>
      </c>
      <c r="E6" s="4" t="n">
        <v>1</v>
      </c>
      <c r="F6" s="5" t="n">
        <v>559000</v>
      </c>
      <c r="G6" s="5" t="n">
        <v>548000</v>
      </c>
      <c r="H6" s="5" t="n">
        <v>39800</v>
      </c>
      <c r="I6" s="6" t="n">
        <v>0.073</v>
      </c>
      <c r="J6" s="4" t="s">
        <v>16</v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15</v>
      </c>
      <c r="E7" s="4" t="n">
        <v>1</v>
      </c>
      <c r="F7" s="5" t="n">
        <v>1025000</v>
      </c>
      <c r="G7" s="5" t="n">
        <v>995000</v>
      </c>
      <c r="H7" s="5" t="n">
        <v>82900</v>
      </c>
      <c r="I7" s="6" t="n">
        <v>0.083</v>
      </c>
      <c r="J7" s="4" t="s">
        <v>16</v>
      </c>
    </row>
    <row r="8" customFormat="false" ht="15" hidden="false" customHeight="false" outlineLevel="0" collapsed="false">
      <c r="A8" s="4" t="s">
        <v>23</v>
      </c>
      <c r="B8" s="4" t="s">
        <v>24</v>
      </c>
      <c r="C8" s="4" t="s">
        <v>25</v>
      </c>
      <c r="D8" s="4" t="s">
        <v>26</v>
      </c>
      <c r="E8" s="4" t="n">
        <v>8</v>
      </c>
      <c r="F8" s="5" t="n">
        <v>1699000</v>
      </c>
      <c r="G8" s="5" t="n">
        <v>1640000</v>
      </c>
      <c r="H8" s="5" t="n">
        <v>118500</v>
      </c>
      <c r="I8" s="6" t="n">
        <v>0.072</v>
      </c>
      <c r="J8" s="4" t="s">
        <v>16</v>
      </c>
    </row>
    <row r="9" customFormat="false" ht="15" hidden="false" customHeight="false" outlineLevel="0" collapsed="false">
      <c r="A9" s="4" t="s">
        <v>27</v>
      </c>
      <c r="B9" s="4" t="s">
        <v>28</v>
      </c>
      <c r="C9" s="4" t="s">
        <v>29</v>
      </c>
      <c r="D9" s="4" t="s">
        <v>26</v>
      </c>
      <c r="E9" s="4" t="n">
        <v>12</v>
      </c>
      <c r="F9" s="5" t="n">
        <v>2350000</v>
      </c>
      <c r="G9" s="5" t="n">
        <v>2280000</v>
      </c>
      <c r="H9" s="5" t="n">
        <v>159600</v>
      </c>
      <c r="I9" s="6" t="n">
        <v>0.07</v>
      </c>
      <c r="J9" s="4" t="s">
        <v>16</v>
      </c>
    </row>
    <row r="10" customFormat="false" ht="15" hidden="false" customHeight="false" outlineLevel="0" collapsed="false">
      <c r="A10" s="4" t="s">
        <v>30</v>
      </c>
      <c r="B10" s="4" t="s">
        <v>31</v>
      </c>
      <c r="C10" s="4" t="s">
        <v>32</v>
      </c>
      <c r="D10" s="4" t="s">
        <v>15</v>
      </c>
      <c r="E10" s="4" t="n">
        <v>1</v>
      </c>
      <c r="F10" s="5" t="n">
        <v>899000</v>
      </c>
      <c r="G10" s="5" t="n">
        <v>880000</v>
      </c>
      <c r="H10" s="5" t="n">
        <v>70400</v>
      </c>
      <c r="I10" s="6" t="n">
        <v>0.08</v>
      </c>
      <c r="J10" s="4" t="s">
        <v>33</v>
      </c>
    </row>
    <row r="11" customFormat="false" ht="15" hidden="false" customHeight="false" outlineLevel="0" collapsed="false">
      <c r="A11" s="4" t="s">
        <v>34</v>
      </c>
      <c r="B11" s="4" t="s">
        <v>35</v>
      </c>
      <c r="C11" s="4" t="s">
        <v>36</v>
      </c>
      <c r="D11" s="4" t="s">
        <v>15</v>
      </c>
      <c r="E11" s="4" t="n">
        <v>1</v>
      </c>
      <c r="F11" s="5" t="n">
        <v>629000</v>
      </c>
      <c r="G11" s="5" t="n">
        <v>612000</v>
      </c>
      <c r="H11" s="5" t="n">
        <v>46500</v>
      </c>
      <c r="I11" s="6" t="n">
        <v>0.076</v>
      </c>
      <c r="J11" s="4" t="s">
        <v>33</v>
      </c>
    </row>
    <row r="12" customFormat="false" ht="15" hidden="false" customHeight="false" outlineLevel="0" collapsed="false">
      <c r="A12" s="4" t="s">
        <v>37</v>
      </c>
      <c r="B12" s="4" t="s">
        <v>38</v>
      </c>
      <c r="C12" s="4" t="s">
        <v>39</v>
      </c>
      <c r="D12" s="4" t="s">
        <v>26</v>
      </c>
      <c r="E12" s="4" t="n">
        <v>24</v>
      </c>
      <c r="F12" s="5" t="n">
        <v>4100000</v>
      </c>
      <c r="G12" s="5" t="n">
        <v>3950000</v>
      </c>
      <c r="H12" s="5" t="n">
        <v>268600</v>
      </c>
      <c r="I12" s="6" t="n">
        <v>0.068</v>
      </c>
      <c r="J12" s="4" t="s">
        <v>33</v>
      </c>
    </row>
    <row r="13" customFormat="false" ht="15" hidden="false" customHeight="false" outlineLevel="0" collapsed="false">
      <c r="A13" s="4" t="s">
        <v>40</v>
      </c>
      <c r="B13" s="4" t="s">
        <v>41</v>
      </c>
      <c r="C13" s="4" t="s">
        <v>42</v>
      </c>
      <c r="D13" s="4" t="s">
        <v>15</v>
      </c>
      <c r="E13" s="4" t="n">
        <v>1</v>
      </c>
      <c r="F13" s="5" t="n">
        <v>415000</v>
      </c>
      <c r="G13" s="5" t="n">
        <v>398000</v>
      </c>
      <c r="H13" s="5" t="n">
        <v>24900</v>
      </c>
      <c r="I13" s="6" t="n">
        <v>0.063</v>
      </c>
      <c r="J13" s="4" t="s">
        <v>43</v>
      </c>
    </row>
    <row r="14" customFormat="false" ht="15" hidden="false" customHeight="false" outlineLevel="0" collapsed="false">
      <c r="A14" s="4" t="s">
        <v>44</v>
      </c>
      <c r="B14" s="4" t="s">
        <v>45</v>
      </c>
      <c r="C14" s="4" t="s">
        <v>25</v>
      </c>
      <c r="D14" s="4" t="s">
        <v>15</v>
      </c>
      <c r="E14" s="4" t="n">
        <v>1</v>
      </c>
      <c r="F14" s="5" t="n">
        <v>1249000</v>
      </c>
      <c r="G14" s="5" t="n">
        <v>1180000</v>
      </c>
      <c r="H14" s="5" t="n">
        <v>70800</v>
      </c>
      <c r="I14" s="6" t="n">
        <v>0.06</v>
      </c>
      <c r="J14" s="4" t="s">
        <v>43</v>
      </c>
    </row>
    <row r="15" customFormat="false" ht="15" hidden="false" customHeight="false" outlineLevel="0" collapsed="false">
      <c r="A15" s="7" t="s">
        <v>46</v>
      </c>
      <c r="G15" s="8" t="n">
        <f aca="false">SUMIF(J5:J14,"&lt;&gt;Passed",G5:G14)</f>
        <v>11630000</v>
      </c>
      <c r="H15" s="8" t="n">
        <f aca="false">SUMIF(J5:J14,"&lt;&gt;Passed",H5:H14)</f>
        <v>847500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9" t="s">
        <v>47</v>
      </c>
    </row>
    <row r="2" customFormat="false" ht="15" hidden="false" customHeight="false" outlineLevel="0" collapsed="false">
      <c r="A2" s="10" t="s">
        <v>48</v>
      </c>
    </row>
    <row r="4" customFormat="false" ht="15" hidden="false" customHeight="false" outlineLevel="0" collapsed="false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</row>
    <row r="5" customFormat="false" ht="15" hidden="false" customHeight="false" outlineLevel="0" collapsed="false">
      <c r="A5" s="4" t="s">
        <v>54</v>
      </c>
      <c r="B5" s="4" t="s">
        <v>23</v>
      </c>
      <c r="C5" s="5" t="n">
        <v>450000</v>
      </c>
      <c r="D5" s="6" t="n">
        <v>0.285</v>
      </c>
      <c r="E5" s="5" t="n">
        <v>9200</v>
      </c>
    </row>
    <row r="6" customFormat="false" ht="15" hidden="false" customHeight="false" outlineLevel="0" collapsed="false">
      <c r="A6" s="4" t="s">
        <v>54</v>
      </c>
      <c r="B6" s="4" t="s">
        <v>27</v>
      </c>
      <c r="C6" s="5" t="n">
        <v>600000</v>
      </c>
      <c r="D6" s="6" t="n">
        <v>0.24</v>
      </c>
      <c r="E6" s="5" t="n">
        <v>11800</v>
      </c>
    </row>
    <row r="7" customFormat="false" ht="15" hidden="false" customHeight="false" outlineLevel="0" collapsed="false">
      <c r="A7" s="4" t="s">
        <v>55</v>
      </c>
      <c r="B7" s="4" t="s">
        <v>23</v>
      </c>
      <c r="C7" s="5" t="n">
        <v>300000</v>
      </c>
      <c r="D7" s="6" t="n">
        <v>0.19</v>
      </c>
      <c r="E7" s="5" t="n">
        <v>6100</v>
      </c>
    </row>
    <row r="8" customFormat="false" ht="15" hidden="false" customHeight="false" outlineLevel="0" collapsed="false">
      <c r="A8" s="4" t="s">
        <v>55</v>
      </c>
      <c r="B8" s="4" t="s">
        <v>12</v>
      </c>
      <c r="C8" s="5" t="n">
        <v>180000</v>
      </c>
      <c r="D8" s="6" t="n">
        <v>0.32</v>
      </c>
      <c r="E8" s="5" t="n">
        <v>4300</v>
      </c>
    </row>
    <row r="9" customFormat="false" ht="15" hidden="false" customHeight="false" outlineLevel="0" collapsed="false">
      <c r="A9" s="4" t="s">
        <v>56</v>
      </c>
      <c r="B9" s="4" t="s">
        <v>17</v>
      </c>
      <c r="C9" s="5" t="n">
        <v>120000</v>
      </c>
      <c r="D9" s="6" t="n">
        <v>0.4</v>
      </c>
      <c r="E9" s="5" t="n">
        <v>2700</v>
      </c>
    </row>
    <row r="10" customFormat="false" ht="15" hidden="false" customHeight="false" outlineLevel="0" collapsed="false">
      <c r="A10" s="4" t="s">
        <v>57</v>
      </c>
      <c r="B10" s="4" t="s">
        <v>20</v>
      </c>
      <c r="C10" s="5" t="n">
        <v>350000</v>
      </c>
      <c r="D10" s="6" t="n">
        <v>0.35</v>
      </c>
      <c r="E10" s="5" t="n">
        <v>7900</v>
      </c>
    </row>
    <row r="11" customFormat="false" ht="15" hidden="false" customHeight="false" outlineLevel="0" collapsed="false">
      <c r="A11" s="4" t="s">
        <v>57</v>
      </c>
      <c r="B11" s="4" t="s">
        <v>27</v>
      </c>
      <c r="C11" s="5" t="n">
        <v>500000</v>
      </c>
      <c r="D11" s="6" t="n">
        <v>0.2</v>
      </c>
      <c r="E11" s="5" t="n">
        <v>9800</v>
      </c>
    </row>
    <row r="12" customFormat="false" ht="15" hidden="false" customHeight="false" outlineLevel="0" collapsed="false">
      <c r="A12" s="4" t="s">
        <v>58</v>
      </c>
      <c r="B12" s="4" t="s">
        <v>20</v>
      </c>
      <c r="C12" s="5" t="n">
        <v>250000</v>
      </c>
      <c r="D12" s="6" t="n">
        <v>0.25</v>
      </c>
      <c r="E12" s="5" t="n">
        <v>5600</v>
      </c>
    </row>
    <row r="13" customFormat="false" ht="15" hidden="false" customHeight="false" outlineLevel="0" collapsed="false">
      <c r="A13" s="7" t="s">
        <v>59</v>
      </c>
      <c r="C13" s="8" t="n">
        <f aca="false">SUM(C5:C12)</f>
        <v>2750000</v>
      </c>
      <c r="E13" s="8" t="n">
        <f aca="false">SUM(E5:E12)</f>
        <v>57400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2026-06-24T01:59:41Z</dcterms:created>
  <dc:creator>openpyxl</dc:creator>
  <dc:description/>
  <dc:language>en-US</dc:language>
  <cp:lastModifiedBy/>
  <dcterms:modified xsi:type="dcterms:W3CDTF">2026-06-24T01:59:41Z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